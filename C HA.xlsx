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ocn\Desktop\DANH SÁCH TRẺ CÂN- 2026\Lập Bình\"/>
    </mc:Choice>
  </mc:AlternateContent>
  <xr:revisionPtr revIDLastSave="0" documentId="13_ncr:1_{3C8B3E51-7ABB-4794-B3D5-1A7468767D5A}" xr6:coauthVersionLast="47" xr6:coauthVersionMax="47" xr10:uidLastSave="{00000000-0000-0000-0000-000000000000}"/>
  <bookViews>
    <workbookView xWindow="-103" yWindow="-103" windowWidth="33120" windowHeight="18000" firstSheet="1" activeTab="1" xr2:uid="{00000000-000D-0000-FFFF-FFFF00000000}"/>
  </bookViews>
  <sheets>
    <sheet name="Kangatang" sheetId="1" state="veryHidden" r:id="rId1"/>
    <sheet name="Sheet1" sheetId="2" r:id="rId2"/>
  </sheets>
  <externalReferences>
    <externalReference r:id="rId3"/>
  </externalReferences>
  <definedNames>
    <definedName name="_xlnm.Print_Titles" localSheetId="1">Sheet1!$6:$6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1" i="2" l="1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</calcChain>
</file>

<file path=xl/sharedStrings.xml><?xml version="1.0" encoding="utf-8"?>
<sst xmlns="http://schemas.openxmlformats.org/spreadsheetml/2006/main" count="164" uniqueCount="77">
  <si>
    <t xml:space="preserve"> DANH SÁCH CÂN, ĐO TRẺ TỪ 0 - 60 THÁNG TUỔI ĐỢT I NĂM 2026</t>
  </si>
  <si>
    <t xml:space="preserve">  Đợt cân trẻ vào ngày   4    tháng   6    năm  2026</t>
  </si>
  <si>
    <t xml:space="preserve"> Thôn: Lập Bình - Xã Hàm Thuận Nam </t>
  </si>
  <si>
    <t xml:space="preserve">  Địa bàn: C.Hà </t>
  </si>
  <si>
    <t>Stt</t>
  </si>
  <si>
    <t>Họ tên trẻ</t>
  </si>
  <si>
    <t>Nam</t>
  </si>
  <si>
    <t>Nữ</t>
  </si>
  <si>
    <t>Ngày 
Sinh</t>
  </si>
  <si>
    <t>Tháng</t>
  </si>
  <si>
    <t>Họ Và Tên Mẹ</t>
  </si>
  <si>
    <t>Cân
Nặng</t>
  </si>
  <si>
    <t>Tình trạng</t>
  </si>
  <si>
    <t>Chiều
Cao</t>
  </si>
  <si>
    <t>CN/
CC</t>
  </si>
  <si>
    <t>Lưu Gia Thành</t>
  </si>
  <si>
    <t>x</t>
  </si>
  <si>
    <t>Bùi Ngọc Hân</t>
  </si>
  <si>
    <t>BT</t>
  </si>
  <si>
    <t>Võ Như Ý</t>
  </si>
  <si>
    <t>Trần T Kim Bằng</t>
  </si>
  <si>
    <t>Đòan Ng Thiên An</t>
  </si>
  <si>
    <t>Ng T Huyền Trang</t>
  </si>
  <si>
    <t>Lê Gia An</t>
  </si>
  <si>
    <t>Bùi Thị Nhàng</t>
  </si>
  <si>
    <t>Hà Hải Đăng</t>
  </si>
  <si>
    <t>Lê Bùi Trân Ngọc</t>
  </si>
  <si>
    <t>Ng Gia Phát</t>
  </si>
  <si>
    <t>Ng T Hồng Vân</t>
  </si>
  <si>
    <t>-2 SD</t>
  </si>
  <si>
    <t>Lê Thanh Ngân</t>
  </si>
  <si>
    <t>Ng Thị Ngà</t>
  </si>
  <si>
    <t>Ng T Hồng Ngọc</t>
  </si>
  <si>
    <t>Lê T Phương Hằng</t>
  </si>
  <si>
    <t>H</t>
  </si>
  <si>
    <t>Ng Nhã Anh Thuỳ</t>
  </si>
  <si>
    <t>Dương Thuý Diễm</t>
  </si>
  <si>
    <t>Trần Bảo My</t>
  </si>
  <si>
    <t>Huỳnh T Mỹ Duyên</t>
  </si>
  <si>
    <t>Ng Võ Hoàng Vũ</t>
  </si>
  <si>
    <t xml:space="preserve">Võ T Thu Hiếu </t>
  </si>
  <si>
    <t>Ng Vũ Tú Uyên</t>
  </si>
  <si>
    <t>Vũ T Cẩm Tiên</t>
  </si>
  <si>
    <t>+2 SD</t>
  </si>
  <si>
    <t>Bùi Ngọc Lan Anh</t>
  </si>
  <si>
    <t>Ng Thị Tình</t>
  </si>
  <si>
    <t>Hoàng Ngọc Khánh Vy</t>
  </si>
  <si>
    <t>Phạm Thị Thắm</t>
  </si>
  <si>
    <t>Hoàng Anh Tài</t>
  </si>
  <si>
    <t>Hoàng Thị Hường</t>
  </si>
  <si>
    <t>Võ Trung Kiên</t>
  </si>
  <si>
    <t>Ng Ngọc P Uyên</t>
  </si>
  <si>
    <t>Phong Đỗ Ngọc Châu</t>
  </si>
  <si>
    <t>Đỗ T Cẩm Giang</t>
  </si>
  <si>
    <t>Trịnh Trúc Mây</t>
  </si>
  <si>
    <t>Huỳnh T Bích Thanh</t>
  </si>
  <si>
    <t>Trần Đăng Huy</t>
  </si>
  <si>
    <t>Trần T Minh Thơ</t>
  </si>
  <si>
    <t>Ng Hoàng Phi Hùng</t>
  </si>
  <si>
    <t>Ng Thị Trang</t>
  </si>
  <si>
    <t>Võ Thành Phúc</t>
  </si>
  <si>
    <t>Võ T Tường Vy</t>
  </si>
  <si>
    <t>ô tô Nhật Đức</t>
  </si>
  <si>
    <t>Huỳnh Ngọc Thảo Ly</t>
  </si>
  <si>
    <t>Ng Thị Út</t>
  </si>
  <si>
    <t>Ng Ngọc Bảo Thi</t>
  </si>
  <si>
    <t>Nguyễn Thị Chiến</t>
  </si>
  <si>
    <t>Ng T Kiều Trinh</t>
  </si>
  <si>
    <t>Trần T Hồng Trang</t>
  </si>
  <si>
    <t>Võ Tiến Đạt</t>
  </si>
  <si>
    <t>Ng T Chiến</t>
  </si>
  <si>
    <t>1.Tổng số trẻ em dưới 5 tuổi:</t>
  </si>
  <si>
    <t>Trong đó: - Số bé trai:                         - Số bé gái:</t>
  </si>
  <si>
    <t>2.Số trẻ em dưới 5 tuổi được cân:</t>
  </si>
  <si>
    <t>3. Số trẻ em bị SDD</t>
  </si>
  <si>
    <t>4.Số trẻ em dưới 5 tuổi được đo:</t>
  </si>
  <si>
    <t>5.Số trẻ em bị SDD: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</si>
</sst>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4">
    <font>
      <sz val="10"/>
      <name val="Arial"/>
      <charset val="134"/>
    </font>
    <font>
      <b/>
      <sz val="13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3"/>
      <color rgb="FFFF0000"/>
      <name val="Times New Roman"/>
      <family val="1"/>
    </font>
    <font>
      <sz val="13"/>
      <color rgb="FFFF0000"/>
      <name val="Times New Roman"/>
      <family val="1"/>
    </font>
    <font>
      <b/>
      <sz val="13"/>
      <color theme="1"/>
      <name val="Times New Roman"/>
      <family val="1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7">
    <xf numFmtId="0" fontId="0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</cellStyleXfs>
  <cellXfs count="74">
    <xf numFmtId="0" fontId="0" fillId="0" borderId="0" xfId="0"/>
    <xf numFmtId="0" fontId="2" fillId="0" borderId="0" xfId="0" applyFont="1" applyAlignment="1">
      <alignment horizontal="left"/>
    </xf>
    <xf numFmtId="0" fontId="3" fillId="0" borderId="0" xfId="23" applyFont="1" applyAlignment="1">
      <alignment horizontal="center"/>
    </xf>
    <xf numFmtId="0" fontId="4" fillId="0" borderId="0" xfId="23" applyFont="1" applyAlignment="1">
      <alignment horizontal="center"/>
    </xf>
    <xf numFmtId="1" fontId="3" fillId="0" borderId="0" xfId="23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23" applyFont="1" applyAlignment="1">
      <alignment horizontal="left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3" fillId="0" borderId="0" xfId="23" applyNumberFormat="1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23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3" fillId="0" borderId="0" xfId="23" applyFont="1" applyAlignment="1">
      <alignment horizontal="left"/>
    </xf>
    <xf numFmtId="0" fontId="3" fillId="0" borderId="3" xfId="23" applyFon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3" xfId="23" applyFont="1" applyBorder="1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left"/>
    </xf>
    <xf numFmtId="0" fontId="1" fillId="2" borderId="0" xfId="0" applyFont="1" applyFill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11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2" xfId="0" applyFont="1" applyBorder="1"/>
    <xf numFmtId="164" fontId="2" fillId="0" borderId="6" xfId="0" applyNumberFormat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3" fillId="0" borderId="3" xfId="23" applyFont="1" applyBorder="1" applyAlignment="1">
      <alignment horizontal="center"/>
    </xf>
    <xf numFmtId="164" fontId="9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12" fillId="0" borderId="0" xfId="0" applyFont="1"/>
    <xf numFmtId="0" fontId="2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7" xfId="0" applyFont="1" applyBorder="1"/>
    <xf numFmtId="0" fontId="13" fillId="0" borderId="1" xfId="0" applyFont="1" applyBorder="1" applyAlignment="1">
      <alignment horizontal="center" vertical="center"/>
    </xf>
    <xf numFmtId="164" fontId="12" fillId="0" borderId="8" xfId="0" applyNumberFormat="1" applyFont="1" applyBorder="1" applyAlignment="1">
      <alignment horizontal="center"/>
    </xf>
    <xf numFmtId="0" fontId="12" fillId="0" borderId="1" xfId="0" applyFont="1" applyBorder="1"/>
    <xf numFmtId="0" fontId="1" fillId="0" borderId="0" xfId="23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27">
    <cellStyle name="Normal" xfId="0" builtinId="0"/>
    <cellStyle name="Normal 10" xfId="1" xr:uid="{00000000-0005-0000-0000-000001000000}"/>
    <cellStyle name="Normal 10 2" xfId="2" xr:uid="{00000000-0005-0000-0000-000002000000}"/>
    <cellStyle name="Normal 10 3" xfId="3" xr:uid="{00000000-0005-0000-0000-000003000000}"/>
    <cellStyle name="Normal 14" xfId="4" xr:uid="{00000000-0005-0000-0000-000004000000}"/>
    <cellStyle name="Normal 15" xfId="5" xr:uid="{00000000-0005-0000-0000-000005000000}"/>
    <cellStyle name="Normal 16" xfId="6" xr:uid="{00000000-0005-0000-0000-000006000000}"/>
    <cellStyle name="Normal 2" xfId="7" xr:uid="{00000000-0005-0000-0000-000007000000}"/>
    <cellStyle name="Normal 2 2" xfId="8" xr:uid="{00000000-0005-0000-0000-000008000000}"/>
    <cellStyle name="Normal 2 3" xfId="9" xr:uid="{00000000-0005-0000-0000-000009000000}"/>
    <cellStyle name="Normal 3" xfId="10" xr:uid="{00000000-0005-0000-0000-00000A000000}"/>
    <cellStyle name="Normal 4" xfId="11" xr:uid="{00000000-0005-0000-0000-00000B000000}"/>
    <cellStyle name="Normal 4 2" xfId="12" xr:uid="{00000000-0005-0000-0000-00000C000000}"/>
    <cellStyle name="Normal 4 3" xfId="13" xr:uid="{00000000-0005-0000-0000-00000D000000}"/>
    <cellStyle name="Normal 5" xfId="14" xr:uid="{00000000-0005-0000-0000-00000E000000}"/>
    <cellStyle name="Normal 5 2" xfId="15" xr:uid="{00000000-0005-0000-0000-00000F000000}"/>
    <cellStyle name="Normal 5 3" xfId="16" xr:uid="{00000000-0005-0000-0000-000010000000}"/>
    <cellStyle name="Normal 6" xfId="17" xr:uid="{00000000-0005-0000-0000-000011000000}"/>
    <cellStyle name="Normal 6 2" xfId="18" xr:uid="{00000000-0005-0000-0000-000012000000}"/>
    <cellStyle name="Normal 6 3" xfId="19" xr:uid="{00000000-0005-0000-0000-000013000000}"/>
    <cellStyle name="Normal 7" xfId="20" xr:uid="{00000000-0005-0000-0000-000014000000}"/>
    <cellStyle name="Normal 7 2" xfId="21" xr:uid="{00000000-0005-0000-0000-000015000000}"/>
    <cellStyle name="Normal 7 3" xfId="22" xr:uid="{00000000-0005-0000-0000-000016000000}"/>
    <cellStyle name="Normal 8" xfId="23" xr:uid="{00000000-0005-0000-0000-000017000000}"/>
    <cellStyle name="Normal 9" xfId="24" xr:uid="{00000000-0005-0000-0000-000018000000}"/>
    <cellStyle name="Normal 9 2" xfId="25" xr:uid="{00000000-0005-0000-0000-000019000000}"/>
    <cellStyle name="Normal 9 3" xfId="26" xr:uid="{00000000-0005-0000-0000-00001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ngatang"/>
      <sheetName val="Sheet1"/>
    </sheetNames>
    <sheetDataSet>
      <sheetData sheetId="0"/>
      <sheetData sheetId="1">
        <row r="27">
          <cell r="F27">
            <v>11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ColWidth="9" defaultRowHeight="12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1"/>
  <sheetViews>
    <sheetView tabSelected="1" zoomScaleNormal="100" workbookViewId="0">
      <selection activeCell="A8" sqref="A8"/>
    </sheetView>
  </sheetViews>
  <sheetFormatPr defaultColWidth="9.15234375" defaultRowHeight="16.3"/>
  <cols>
    <col min="1" max="1" width="7" style="44" customWidth="1"/>
    <col min="2" max="2" width="26.53515625" style="1" customWidth="1"/>
    <col min="3" max="3" width="8.84375" style="44" customWidth="1"/>
    <col min="4" max="4" width="8.53515625" style="44" customWidth="1"/>
    <col min="5" max="5" width="14.84375" style="51" customWidth="1"/>
    <col min="6" max="6" width="9" style="45" customWidth="1"/>
    <col min="7" max="7" width="25" style="1" customWidth="1"/>
    <col min="8" max="11" width="8.69140625" style="44" customWidth="1"/>
    <col min="12" max="12" width="10" style="44" customWidth="1"/>
    <col min="13" max="13" width="17.84375" style="44" customWidth="1"/>
    <col min="14" max="14" width="14.3828125" style="1" customWidth="1"/>
    <col min="15" max="48" width="9.15234375" style="43" customWidth="1"/>
    <col min="49" max="16384" width="9.15234375" style="43"/>
  </cols>
  <sheetData>
    <row r="1" spans="1:15">
      <c r="A1" s="73" t="s">
        <v>0</v>
      </c>
      <c r="B1" s="69"/>
      <c r="C1" s="70"/>
      <c r="D1" s="70"/>
      <c r="E1" s="71"/>
      <c r="F1" s="72"/>
      <c r="G1" s="69"/>
      <c r="H1" s="70"/>
      <c r="I1" s="70"/>
      <c r="J1" s="70"/>
      <c r="K1" s="70"/>
      <c r="L1" s="70"/>
    </row>
    <row r="2" spans="1:15">
      <c r="A2" s="68" t="s">
        <v>1</v>
      </c>
      <c r="B2" s="69"/>
      <c r="C2" s="70"/>
      <c r="D2" s="70"/>
      <c r="E2" s="71"/>
      <c r="F2" s="72"/>
      <c r="G2" s="69"/>
      <c r="H2" s="70"/>
      <c r="I2" s="70"/>
      <c r="J2" s="70"/>
      <c r="K2" s="70"/>
      <c r="L2" s="70"/>
      <c r="M2" s="3"/>
      <c r="N2" s="9"/>
    </row>
    <row r="3" spans="1:15">
      <c r="A3" s="2"/>
      <c r="B3" s="27"/>
      <c r="C3" s="3"/>
      <c r="D3" s="3"/>
      <c r="E3" s="12"/>
      <c r="F3" s="4"/>
      <c r="G3" s="9"/>
      <c r="H3" s="3"/>
      <c r="M3" s="3"/>
      <c r="N3" s="9"/>
    </row>
    <row r="4" spans="1:15">
      <c r="A4" s="68" t="s">
        <v>2</v>
      </c>
      <c r="B4" s="69"/>
      <c r="C4" s="70"/>
      <c r="D4" s="3"/>
      <c r="E4" s="12"/>
      <c r="F4" s="4"/>
      <c r="G4" s="27"/>
      <c r="H4" s="2"/>
      <c r="J4" s="46"/>
      <c r="L4" s="46"/>
      <c r="M4" s="3"/>
      <c r="N4" s="9"/>
    </row>
    <row r="5" spans="1:15">
      <c r="A5" s="16" t="s">
        <v>3</v>
      </c>
      <c r="B5" s="28"/>
      <c r="C5" s="16"/>
      <c r="D5" s="16"/>
      <c r="E5" s="58"/>
      <c r="F5" s="16"/>
      <c r="G5" s="28"/>
      <c r="H5" s="16"/>
      <c r="I5" s="32"/>
      <c r="J5" s="16"/>
      <c r="K5" s="32"/>
      <c r="L5" s="16"/>
      <c r="M5" s="3"/>
      <c r="N5" s="9"/>
    </row>
    <row r="6" spans="1:15" s="18" customFormat="1" ht="36" customHeight="1">
      <c r="A6" s="17" t="s">
        <v>4</v>
      </c>
      <c r="B6" s="29" t="s">
        <v>5</v>
      </c>
      <c r="C6" s="19" t="s">
        <v>6</v>
      </c>
      <c r="D6" s="19" t="s">
        <v>7</v>
      </c>
      <c r="E6" s="20" t="s">
        <v>8</v>
      </c>
      <c r="F6" s="21" t="s">
        <v>9</v>
      </c>
      <c r="G6" s="29" t="s">
        <v>10</v>
      </c>
      <c r="H6" s="19" t="s">
        <v>11</v>
      </c>
      <c r="I6" s="17" t="s">
        <v>12</v>
      </c>
      <c r="J6" s="19" t="s">
        <v>13</v>
      </c>
      <c r="K6" s="17" t="s">
        <v>12</v>
      </c>
      <c r="L6" s="19" t="s">
        <v>14</v>
      </c>
      <c r="M6" s="17"/>
    </row>
    <row r="7" spans="1:15" ht="18.75" customHeight="1">
      <c r="A7" s="15">
        <v>1</v>
      </c>
      <c r="B7" s="30" t="s">
        <v>15</v>
      </c>
      <c r="C7" s="15" t="s">
        <v>16</v>
      </c>
      <c r="D7" s="15"/>
      <c r="E7" s="22">
        <v>44469</v>
      </c>
      <c r="F7" s="24">
        <v>57</v>
      </c>
      <c r="G7" s="30" t="s">
        <v>17</v>
      </c>
      <c r="H7" s="15">
        <v>16</v>
      </c>
      <c r="I7" s="33" t="s">
        <v>18</v>
      </c>
      <c r="J7" s="15">
        <v>107</v>
      </c>
      <c r="K7" s="33" t="s">
        <v>18</v>
      </c>
      <c r="L7" s="15" t="s">
        <v>18</v>
      </c>
      <c r="M7" s="5"/>
      <c r="O7" s="43">
        <f t="shared" ref="O7:O28" si="0">F7-4</f>
        <v>53</v>
      </c>
    </row>
    <row r="8" spans="1:15" ht="18.75" customHeight="1">
      <c r="A8" s="15">
        <v>2</v>
      </c>
      <c r="B8" s="30" t="s">
        <v>19</v>
      </c>
      <c r="C8" s="15"/>
      <c r="D8" s="15" t="s">
        <v>16</v>
      </c>
      <c r="E8" s="22">
        <v>44488</v>
      </c>
      <c r="F8" s="24">
        <v>56</v>
      </c>
      <c r="G8" s="30" t="s">
        <v>20</v>
      </c>
      <c r="H8" s="15">
        <v>15.5</v>
      </c>
      <c r="I8" s="33" t="s">
        <v>18</v>
      </c>
      <c r="J8" s="15">
        <v>100</v>
      </c>
      <c r="K8" s="33" t="s">
        <v>18</v>
      </c>
      <c r="L8" s="15" t="s">
        <v>18</v>
      </c>
      <c r="M8" s="5"/>
      <c r="O8" s="43">
        <f t="shared" si="0"/>
        <v>52</v>
      </c>
    </row>
    <row r="9" spans="1:15" ht="18.75" customHeight="1">
      <c r="A9" s="15">
        <v>3</v>
      </c>
      <c r="B9" s="30" t="s">
        <v>21</v>
      </c>
      <c r="C9" s="15"/>
      <c r="D9" s="15" t="s">
        <v>16</v>
      </c>
      <c r="E9" s="22">
        <v>44564</v>
      </c>
      <c r="F9" s="24">
        <v>53</v>
      </c>
      <c r="G9" s="30" t="s">
        <v>22</v>
      </c>
      <c r="H9" s="15">
        <v>13.5</v>
      </c>
      <c r="I9" s="33" t="s">
        <v>18</v>
      </c>
      <c r="J9" s="15">
        <v>99.5</v>
      </c>
      <c r="K9" s="33" t="s">
        <v>18</v>
      </c>
      <c r="L9" s="15" t="s">
        <v>18</v>
      </c>
      <c r="M9" s="5"/>
      <c r="O9" s="43">
        <f t="shared" si="0"/>
        <v>49</v>
      </c>
    </row>
    <row r="10" spans="1:15" ht="18.75" customHeight="1">
      <c r="A10" s="15">
        <v>4</v>
      </c>
      <c r="B10" s="30" t="s">
        <v>23</v>
      </c>
      <c r="C10" s="15"/>
      <c r="D10" s="15" t="s">
        <v>16</v>
      </c>
      <c r="E10" s="22">
        <v>44685</v>
      </c>
      <c r="F10" s="24">
        <v>49</v>
      </c>
      <c r="G10" s="30" t="s">
        <v>24</v>
      </c>
      <c r="H10" s="15">
        <v>16</v>
      </c>
      <c r="I10" s="33" t="s">
        <v>18</v>
      </c>
      <c r="J10" s="15">
        <v>101.5</v>
      </c>
      <c r="K10" s="33" t="s">
        <v>18</v>
      </c>
      <c r="L10" s="15" t="s">
        <v>18</v>
      </c>
      <c r="M10" s="5"/>
      <c r="O10" s="43">
        <f t="shared" si="0"/>
        <v>45</v>
      </c>
    </row>
    <row r="11" spans="1:15" ht="18.75" customHeight="1">
      <c r="A11" s="15">
        <v>5</v>
      </c>
      <c r="B11" s="30" t="s">
        <v>25</v>
      </c>
      <c r="C11" s="15" t="s">
        <v>16</v>
      </c>
      <c r="D11" s="15"/>
      <c r="E11" s="22">
        <v>44992</v>
      </c>
      <c r="F11" s="24">
        <v>39</v>
      </c>
      <c r="G11" s="30" t="s">
        <v>26</v>
      </c>
      <c r="H11" s="15"/>
      <c r="I11" s="33"/>
      <c r="J11" s="15"/>
      <c r="K11" s="33"/>
      <c r="L11" s="15"/>
      <c r="M11" s="5"/>
      <c r="O11" s="43">
        <f t="shared" si="0"/>
        <v>35</v>
      </c>
    </row>
    <row r="12" spans="1:15" ht="18.75" customHeight="1">
      <c r="A12" s="15">
        <v>6</v>
      </c>
      <c r="B12" s="30" t="s">
        <v>27</v>
      </c>
      <c r="C12" s="15" t="s">
        <v>16</v>
      </c>
      <c r="D12" s="15"/>
      <c r="E12" s="22">
        <v>45050</v>
      </c>
      <c r="F12" s="24">
        <v>37</v>
      </c>
      <c r="G12" s="30" t="s">
        <v>28</v>
      </c>
      <c r="H12" s="15">
        <v>14.2</v>
      </c>
      <c r="I12" s="33" t="s">
        <v>18</v>
      </c>
      <c r="J12" s="15">
        <v>87</v>
      </c>
      <c r="K12" s="33" t="s">
        <v>29</v>
      </c>
      <c r="L12" s="15" t="s">
        <v>18</v>
      </c>
      <c r="M12" s="5"/>
      <c r="O12" s="43">
        <f t="shared" si="0"/>
        <v>33</v>
      </c>
    </row>
    <row r="13" spans="1:15" ht="18.75" customHeight="1">
      <c r="A13" s="15">
        <v>7</v>
      </c>
      <c r="B13" s="30" t="s">
        <v>30</v>
      </c>
      <c r="C13" s="15"/>
      <c r="D13" s="15" t="s">
        <v>16</v>
      </c>
      <c r="E13" s="22">
        <v>45070</v>
      </c>
      <c r="F13" s="24">
        <v>37</v>
      </c>
      <c r="G13" s="30" t="s">
        <v>31</v>
      </c>
      <c r="H13" s="15">
        <v>14</v>
      </c>
      <c r="I13" s="33" t="s">
        <v>18</v>
      </c>
      <c r="J13" s="15">
        <v>92</v>
      </c>
      <c r="K13" s="33" t="s">
        <v>18</v>
      </c>
      <c r="L13" s="15" t="s">
        <v>18</v>
      </c>
      <c r="M13" s="5"/>
      <c r="O13" s="43">
        <f t="shared" si="0"/>
        <v>33</v>
      </c>
    </row>
    <row r="14" spans="1:15" ht="18" customHeight="1">
      <c r="A14" s="15">
        <v>8</v>
      </c>
      <c r="B14" s="31" t="s">
        <v>32</v>
      </c>
      <c r="C14" s="5"/>
      <c r="D14" s="5" t="s">
        <v>16</v>
      </c>
      <c r="E14" s="13">
        <v>45140</v>
      </c>
      <c r="F14" s="24">
        <v>34</v>
      </c>
      <c r="G14" s="31" t="s">
        <v>33</v>
      </c>
      <c r="H14" s="5">
        <v>11.3</v>
      </c>
      <c r="I14" s="5" t="s">
        <v>18</v>
      </c>
      <c r="J14" s="5">
        <v>89</v>
      </c>
      <c r="K14" s="5" t="s">
        <v>18</v>
      </c>
      <c r="L14" s="5" t="s">
        <v>18</v>
      </c>
      <c r="M14" s="5"/>
      <c r="N14" s="43" t="s">
        <v>34</v>
      </c>
      <c r="O14" s="43">
        <f t="shared" si="0"/>
        <v>30</v>
      </c>
    </row>
    <row r="15" spans="1:15" ht="18" customHeight="1">
      <c r="A15" s="15">
        <v>9</v>
      </c>
      <c r="B15" s="31" t="s">
        <v>35</v>
      </c>
      <c r="C15" s="5"/>
      <c r="D15" s="5" t="s">
        <v>16</v>
      </c>
      <c r="E15" s="13">
        <v>45175</v>
      </c>
      <c r="F15" s="24">
        <v>33</v>
      </c>
      <c r="G15" s="31" t="s">
        <v>36</v>
      </c>
      <c r="H15" s="5"/>
      <c r="I15" s="5"/>
      <c r="J15" s="5"/>
      <c r="K15" s="5"/>
      <c r="L15" s="5"/>
      <c r="M15" s="5"/>
      <c r="N15" s="43" t="s">
        <v>34</v>
      </c>
      <c r="O15" s="43">
        <f t="shared" si="0"/>
        <v>29</v>
      </c>
    </row>
    <row r="16" spans="1:15" ht="18" customHeight="1">
      <c r="A16" s="15">
        <v>10</v>
      </c>
      <c r="B16" s="31" t="s">
        <v>37</v>
      </c>
      <c r="C16" s="5"/>
      <c r="D16" s="11" t="s">
        <v>16</v>
      </c>
      <c r="E16" s="14">
        <v>45215</v>
      </c>
      <c r="F16" s="24">
        <v>32</v>
      </c>
      <c r="G16" s="31" t="s">
        <v>38</v>
      </c>
      <c r="H16" s="5">
        <v>15.8</v>
      </c>
      <c r="I16" s="7" t="s">
        <v>18</v>
      </c>
      <c r="J16" s="5">
        <v>94.5</v>
      </c>
      <c r="K16" s="5" t="s">
        <v>18</v>
      </c>
      <c r="L16" s="5" t="s">
        <v>18</v>
      </c>
      <c r="M16" s="5"/>
      <c r="N16" s="43" t="s">
        <v>34</v>
      </c>
      <c r="O16" s="43">
        <f t="shared" si="0"/>
        <v>28</v>
      </c>
    </row>
    <row r="17" spans="1:16" ht="18" customHeight="1">
      <c r="A17" s="15">
        <v>11</v>
      </c>
      <c r="B17" s="31" t="s">
        <v>39</v>
      </c>
      <c r="C17" s="5" t="s">
        <v>16</v>
      </c>
      <c r="D17" s="5"/>
      <c r="E17" s="13">
        <v>45294</v>
      </c>
      <c r="F17" s="24">
        <v>29</v>
      </c>
      <c r="G17" s="31" t="s">
        <v>40</v>
      </c>
      <c r="H17" s="5"/>
      <c r="I17" s="5"/>
      <c r="J17" s="5"/>
      <c r="K17" s="5"/>
      <c r="L17" s="5"/>
      <c r="M17" s="5"/>
      <c r="N17" s="43" t="s">
        <v>34</v>
      </c>
      <c r="O17" s="43">
        <f t="shared" si="0"/>
        <v>25</v>
      </c>
    </row>
    <row r="18" spans="1:16" ht="18" customHeight="1">
      <c r="A18" s="15">
        <v>12</v>
      </c>
      <c r="B18" s="31" t="s">
        <v>41</v>
      </c>
      <c r="C18" s="5"/>
      <c r="D18" s="11" t="s">
        <v>16</v>
      </c>
      <c r="E18" s="14">
        <v>45373</v>
      </c>
      <c r="F18" s="24">
        <v>27</v>
      </c>
      <c r="G18" s="31" t="s">
        <v>42</v>
      </c>
      <c r="H18" s="5">
        <v>12</v>
      </c>
      <c r="I18" s="5" t="s">
        <v>18</v>
      </c>
      <c r="J18" s="5">
        <v>98</v>
      </c>
      <c r="K18" s="5" t="s">
        <v>43</v>
      </c>
      <c r="L18" s="5" t="s">
        <v>29</v>
      </c>
      <c r="M18" s="5"/>
      <c r="N18" s="43" t="s">
        <v>34</v>
      </c>
      <c r="O18" s="43">
        <f t="shared" si="0"/>
        <v>23</v>
      </c>
    </row>
    <row r="19" spans="1:16" ht="18" customHeight="1">
      <c r="A19" s="15">
        <v>13</v>
      </c>
      <c r="B19" s="31" t="s">
        <v>44</v>
      </c>
      <c r="C19" s="5"/>
      <c r="D19" s="5" t="s">
        <v>16</v>
      </c>
      <c r="E19" s="13">
        <v>45387</v>
      </c>
      <c r="F19" s="24">
        <v>26</v>
      </c>
      <c r="G19" s="31" t="s">
        <v>45</v>
      </c>
      <c r="H19" s="5">
        <v>11.5</v>
      </c>
      <c r="I19" s="5" t="s">
        <v>18</v>
      </c>
      <c r="J19" s="5">
        <v>83</v>
      </c>
      <c r="K19" s="5" t="s">
        <v>18</v>
      </c>
      <c r="L19" s="5" t="s">
        <v>18</v>
      </c>
      <c r="M19" s="5"/>
      <c r="O19" s="43">
        <f t="shared" si="0"/>
        <v>22</v>
      </c>
    </row>
    <row r="20" spans="1:16" ht="18" customHeight="1">
      <c r="A20" s="15">
        <v>14</v>
      </c>
      <c r="B20" s="31" t="s">
        <v>46</v>
      </c>
      <c r="C20" s="5"/>
      <c r="D20" s="5" t="s">
        <v>16</v>
      </c>
      <c r="E20" s="13">
        <v>45408</v>
      </c>
      <c r="F20" s="24">
        <v>26</v>
      </c>
      <c r="G20" s="31" t="s">
        <v>47</v>
      </c>
      <c r="H20" s="5">
        <v>13</v>
      </c>
      <c r="I20" s="5" t="s">
        <v>18</v>
      </c>
      <c r="J20" s="5">
        <v>87</v>
      </c>
      <c r="K20" s="5" t="s">
        <v>18</v>
      </c>
      <c r="L20" s="5" t="s">
        <v>18</v>
      </c>
      <c r="M20" s="5"/>
      <c r="O20" s="43">
        <f t="shared" si="0"/>
        <v>22</v>
      </c>
    </row>
    <row r="21" spans="1:16" ht="18" customHeight="1">
      <c r="A21" s="15">
        <v>15</v>
      </c>
      <c r="B21" s="31" t="s">
        <v>48</v>
      </c>
      <c r="C21" s="5" t="s">
        <v>16</v>
      </c>
      <c r="D21" s="5"/>
      <c r="E21" s="13">
        <v>45410</v>
      </c>
      <c r="F21" s="24">
        <v>26</v>
      </c>
      <c r="G21" s="31" t="s">
        <v>49</v>
      </c>
      <c r="H21" s="5">
        <v>11</v>
      </c>
      <c r="I21" s="5" t="s">
        <v>18</v>
      </c>
      <c r="J21" s="5">
        <v>86</v>
      </c>
      <c r="K21" s="5" t="s">
        <v>18</v>
      </c>
      <c r="L21" s="5" t="s">
        <v>18</v>
      </c>
      <c r="M21" s="5"/>
      <c r="O21" s="43">
        <f t="shared" si="0"/>
        <v>22</v>
      </c>
    </row>
    <row r="22" spans="1:16" s="26" customFormat="1">
      <c r="A22" s="15">
        <v>16</v>
      </c>
      <c r="B22" s="48" t="s">
        <v>50</v>
      </c>
      <c r="C22" s="49" t="s">
        <v>16</v>
      </c>
      <c r="D22" s="49"/>
      <c r="E22" s="50">
        <v>45450</v>
      </c>
      <c r="F22" s="24">
        <v>24</v>
      </c>
      <c r="G22" s="48" t="s">
        <v>51</v>
      </c>
      <c r="H22" s="49">
        <v>12</v>
      </c>
      <c r="I22" s="23" t="s">
        <v>18</v>
      </c>
      <c r="J22" s="49">
        <v>81.5</v>
      </c>
      <c r="K22" s="49" t="s">
        <v>18</v>
      </c>
      <c r="L22" s="49" t="s">
        <v>18</v>
      </c>
      <c r="M22" s="49"/>
      <c r="N22" s="25"/>
      <c r="O22" s="26">
        <f t="shared" si="0"/>
        <v>20</v>
      </c>
    </row>
    <row r="23" spans="1:16">
      <c r="A23" s="15">
        <v>17</v>
      </c>
      <c r="B23" s="31" t="s">
        <v>52</v>
      </c>
      <c r="C23" s="5" t="s">
        <v>16</v>
      </c>
      <c r="D23" s="5"/>
      <c r="E23" s="13">
        <v>45481</v>
      </c>
      <c r="F23" s="24">
        <v>23</v>
      </c>
      <c r="G23" s="31" t="s">
        <v>53</v>
      </c>
      <c r="H23" s="5">
        <v>11</v>
      </c>
      <c r="I23" s="5" t="s">
        <v>18</v>
      </c>
      <c r="J23" s="5">
        <v>84</v>
      </c>
      <c r="K23" s="5" t="s">
        <v>18</v>
      </c>
      <c r="L23" s="5" t="s">
        <v>18</v>
      </c>
      <c r="M23" s="5"/>
      <c r="O23" s="43">
        <f t="shared" si="0"/>
        <v>19</v>
      </c>
    </row>
    <row r="24" spans="1:16">
      <c r="A24" s="15">
        <v>18</v>
      </c>
      <c r="B24" s="31" t="s">
        <v>54</v>
      </c>
      <c r="C24" s="5"/>
      <c r="D24" s="5" t="s">
        <v>16</v>
      </c>
      <c r="E24" s="13">
        <v>45556</v>
      </c>
      <c r="F24" s="24">
        <v>21</v>
      </c>
      <c r="G24" s="31" t="s">
        <v>55</v>
      </c>
      <c r="H24" s="5">
        <v>11</v>
      </c>
      <c r="I24" s="5" t="s">
        <v>18</v>
      </c>
      <c r="J24" s="5">
        <v>85</v>
      </c>
      <c r="K24" s="5" t="s">
        <v>18</v>
      </c>
      <c r="L24" s="5" t="s">
        <v>18</v>
      </c>
      <c r="M24" s="5"/>
      <c r="O24" s="43">
        <f t="shared" si="0"/>
        <v>17</v>
      </c>
    </row>
    <row r="25" spans="1:16">
      <c r="A25" s="15">
        <v>19</v>
      </c>
      <c r="B25" s="31" t="s">
        <v>56</v>
      </c>
      <c r="C25" s="5" t="s">
        <v>16</v>
      </c>
      <c r="D25" s="5"/>
      <c r="E25" s="13">
        <v>45696</v>
      </c>
      <c r="F25" s="24">
        <v>16</v>
      </c>
      <c r="G25" s="31" t="s">
        <v>57</v>
      </c>
      <c r="H25" s="5"/>
      <c r="I25" s="5"/>
      <c r="J25" s="5"/>
      <c r="K25" s="5"/>
      <c r="L25" s="5"/>
      <c r="M25" s="5"/>
      <c r="O25" s="43">
        <f t="shared" si="0"/>
        <v>12</v>
      </c>
    </row>
    <row r="26" spans="1:16" ht="19.5" customHeight="1">
      <c r="A26" s="15">
        <v>20</v>
      </c>
      <c r="B26" s="31" t="s">
        <v>58</v>
      </c>
      <c r="C26" s="5" t="s">
        <v>16</v>
      </c>
      <c r="D26" s="5"/>
      <c r="E26" s="13">
        <v>45819</v>
      </c>
      <c r="F26" s="24">
        <v>12</v>
      </c>
      <c r="G26" s="31" t="s">
        <v>59</v>
      </c>
      <c r="H26" s="5">
        <v>8.5</v>
      </c>
      <c r="I26" s="5" t="s">
        <v>18</v>
      </c>
      <c r="J26" s="5">
        <v>75</v>
      </c>
      <c r="K26" s="5" t="s">
        <v>18</v>
      </c>
      <c r="L26" s="5" t="s">
        <v>18</v>
      </c>
      <c r="M26" s="5"/>
      <c r="O26" s="43">
        <f t="shared" si="0"/>
        <v>8</v>
      </c>
    </row>
    <row r="27" spans="1:16">
      <c r="A27" s="15">
        <v>21</v>
      </c>
      <c r="B27" s="31" t="s">
        <v>60</v>
      </c>
      <c r="C27" s="5" t="s">
        <v>16</v>
      </c>
      <c r="D27" s="5"/>
      <c r="E27" s="13">
        <v>45836</v>
      </c>
      <c r="F27" s="24">
        <v>12</v>
      </c>
      <c r="G27" s="31" t="s">
        <v>61</v>
      </c>
      <c r="H27" s="5">
        <v>8.5</v>
      </c>
      <c r="I27" s="5" t="s">
        <v>18</v>
      </c>
      <c r="J27" s="5">
        <v>72</v>
      </c>
      <c r="K27" s="5" t="s">
        <v>18</v>
      </c>
      <c r="L27" s="5" t="s">
        <v>18</v>
      </c>
      <c r="M27" s="5"/>
      <c r="N27" s="1" t="s">
        <v>62</v>
      </c>
      <c r="O27" s="43">
        <f t="shared" si="0"/>
        <v>8</v>
      </c>
    </row>
    <row r="28" spans="1:16">
      <c r="A28" s="15">
        <v>22</v>
      </c>
      <c r="B28" s="31" t="s">
        <v>63</v>
      </c>
      <c r="C28" s="8"/>
      <c r="D28" s="10" t="s">
        <v>16</v>
      </c>
      <c r="E28" s="14">
        <v>45897</v>
      </c>
      <c r="F28" s="24">
        <v>10</v>
      </c>
      <c r="G28" s="31" t="s">
        <v>64</v>
      </c>
      <c r="H28" s="5">
        <v>6.8</v>
      </c>
      <c r="I28" s="5" t="s">
        <v>18</v>
      </c>
      <c r="J28" s="5">
        <v>72</v>
      </c>
      <c r="K28" s="5" t="s">
        <v>18</v>
      </c>
      <c r="L28" s="5" t="s">
        <v>29</v>
      </c>
      <c r="M28" s="5"/>
      <c r="O28" s="43">
        <f t="shared" si="0"/>
        <v>6</v>
      </c>
    </row>
    <row r="29" spans="1:16">
      <c r="A29" s="15">
        <v>23</v>
      </c>
      <c r="B29" s="52" t="s">
        <v>65</v>
      </c>
      <c r="C29" s="53"/>
      <c r="D29" s="53" t="s">
        <v>16</v>
      </c>
      <c r="E29" s="56">
        <v>46067</v>
      </c>
      <c r="F29" s="57">
        <v>4</v>
      </c>
      <c r="G29" s="52" t="s">
        <v>66</v>
      </c>
      <c r="H29" s="53"/>
      <c r="I29" s="54"/>
      <c r="J29" s="53"/>
      <c r="K29" s="54"/>
      <c r="L29" s="54"/>
      <c r="M29" s="54">
        <v>329811197</v>
      </c>
      <c r="N29" s="43"/>
    </row>
    <row r="30" spans="1:16" s="6" customFormat="1">
      <c r="A30" s="15">
        <v>24</v>
      </c>
      <c r="B30" s="31" t="s">
        <v>67</v>
      </c>
      <c r="C30" s="5"/>
      <c r="D30" s="5" t="s">
        <v>16</v>
      </c>
      <c r="E30" s="13">
        <v>44793</v>
      </c>
      <c r="F30" s="5">
        <v>46</v>
      </c>
      <c r="G30" s="31" t="s">
        <v>68</v>
      </c>
      <c r="H30" s="5">
        <v>13.5</v>
      </c>
      <c r="I30" t="s">
        <v>18</v>
      </c>
      <c r="J30" s="5">
        <v>93.5</v>
      </c>
      <c r="K30" t="s">
        <v>18</v>
      </c>
      <c r="L30" t="s">
        <v>18</v>
      </c>
      <c r="M30" s="6">
        <v>968335591</v>
      </c>
    </row>
    <row r="31" spans="1:16" s="61" customFormat="1" ht="16.5" customHeight="1">
      <c r="A31" s="15">
        <v>25</v>
      </c>
      <c r="B31" s="67" t="s">
        <v>69</v>
      </c>
      <c r="C31" s="63" t="s">
        <v>16</v>
      </c>
      <c r="D31" s="67"/>
      <c r="E31" s="66">
        <v>45925</v>
      </c>
      <c r="F31" s="65">
        <v>9</v>
      </c>
      <c r="G31" s="64" t="s">
        <v>70</v>
      </c>
      <c r="H31" s="63"/>
      <c r="I31" s="62"/>
      <c r="J31" s="63"/>
      <c r="K31" s="62"/>
      <c r="L31" s="62"/>
      <c r="P31">
        <f>[1]Sheet1!F27-4</f>
        <v>7</v>
      </c>
    </row>
    <row r="32" spans="1:16">
      <c r="A32" s="15"/>
      <c r="B32" s="30"/>
      <c r="C32" s="15"/>
      <c r="D32" s="15"/>
      <c r="E32" s="22"/>
      <c r="F32" s="15"/>
      <c r="G32" s="30"/>
      <c r="H32" s="15"/>
      <c r="I32" s="55"/>
      <c r="J32" s="15"/>
      <c r="K32" s="55"/>
      <c r="L32" s="55"/>
      <c r="M32" s="55"/>
      <c r="N32" s="43"/>
    </row>
    <row r="33" spans="1:14">
      <c r="A33" s="5"/>
      <c r="B33" s="31"/>
      <c r="C33" s="5"/>
      <c r="D33" s="5"/>
      <c r="E33" s="13"/>
      <c r="F33" s="15"/>
      <c r="G33" s="31"/>
      <c r="H33" s="5"/>
      <c r="I33" s="6"/>
      <c r="J33" s="5"/>
      <c r="K33" s="6"/>
      <c r="L33" s="6"/>
      <c r="M33" s="6"/>
      <c r="N33" s="43"/>
    </row>
    <row r="34" spans="1:14">
      <c r="A34" s="5"/>
      <c r="B34" s="31"/>
      <c r="C34" s="5"/>
      <c r="D34" s="5"/>
      <c r="E34" s="13"/>
      <c r="F34" s="15"/>
      <c r="G34" s="31"/>
      <c r="H34" s="5"/>
      <c r="I34" s="6"/>
      <c r="J34" s="5"/>
      <c r="K34" s="6"/>
      <c r="L34" s="6"/>
      <c r="M34" s="6"/>
      <c r="N34" s="43"/>
    </row>
    <row r="35" spans="1:14">
      <c r="A35" s="5"/>
      <c r="B35" s="31"/>
      <c r="C35" s="5"/>
      <c r="D35" s="5"/>
      <c r="E35" s="13"/>
      <c r="F35" s="5"/>
      <c r="G35" s="31"/>
      <c r="H35" s="5"/>
      <c r="I35" s="6"/>
      <c r="J35" s="5"/>
      <c r="K35" s="6"/>
      <c r="L35" s="6"/>
      <c r="M35" s="6"/>
      <c r="N35" s="43"/>
    </row>
    <row r="36" spans="1:14">
      <c r="A36" s="5"/>
      <c r="B36" s="31"/>
      <c r="C36" s="5"/>
      <c r="D36" s="5"/>
      <c r="E36" s="13"/>
      <c r="F36" s="5"/>
      <c r="G36" s="31"/>
      <c r="H36" s="5"/>
      <c r="I36" s="6"/>
      <c r="J36" s="5"/>
      <c r="K36" s="6"/>
      <c r="L36" s="6"/>
      <c r="M36" s="6"/>
      <c r="N36" s="43"/>
    </row>
    <row r="37" spans="1:14">
      <c r="A37" s="5"/>
      <c r="B37" s="31"/>
      <c r="C37" s="5"/>
      <c r="D37" s="5"/>
      <c r="E37" s="13"/>
      <c r="F37" s="5"/>
      <c r="G37" s="31"/>
      <c r="H37" s="5"/>
      <c r="I37" s="6"/>
      <c r="J37" s="5"/>
      <c r="K37" s="6"/>
      <c r="L37" s="6"/>
      <c r="M37" s="6"/>
      <c r="N37" s="43"/>
    </row>
    <row r="38" spans="1:14">
      <c r="A38" s="5"/>
      <c r="B38" s="31"/>
      <c r="C38" s="5"/>
      <c r="D38" s="5"/>
      <c r="E38" s="13"/>
      <c r="F38" s="5"/>
      <c r="G38" s="31"/>
      <c r="H38" s="5"/>
      <c r="I38" s="6"/>
      <c r="J38" s="5"/>
      <c r="K38" s="6"/>
      <c r="L38" s="6"/>
      <c r="M38" s="6"/>
      <c r="N38" s="43"/>
    </row>
    <row r="39" spans="1:14">
      <c r="A39" s="5"/>
      <c r="B39" s="31"/>
      <c r="C39" s="5"/>
      <c r="D39" s="5"/>
      <c r="E39" s="13"/>
      <c r="F39" s="5"/>
      <c r="G39" s="31"/>
      <c r="H39" s="5"/>
      <c r="I39" s="6"/>
      <c r="J39" s="5"/>
      <c r="K39" s="6"/>
      <c r="L39" s="6"/>
      <c r="M39" s="6"/>
      <c r="N39" s="43"/>
    </row>
    <row r="40" spans="1:14">
      <c r="A40" s="5"/>
      <c r="B40" s="31"/>
      <c r="C40" s="5"/>
      <c r="D40" s="5"/>
      <c r="E40" s="13"/>
      <c r="F40" s="5"/>
      <c r="G40" s="31"/>
      <c r="H40" s="5"/>
      <c r="I40" s="6"/>
      <c r="J40" s="5"/>
      <c r="K40" s="6"/>
      <c r="L40" s="6"/>
      <c r="M40" s="6"/>
      <c r="N40" s="43"/>
    </row>
    <row r="41" spans="1:14">
      <c r="A41" s="5"/>
      <c r="B41" s="31"/>
      <c r="C41" s="5"/>
      <c r="D41" s="5"/>
      <c r="E41" s="13"/>
      <c r="F41" s="5"/>
      <c r="G41" s="31"/>
      <c r="H41" s="5"/>
      <c r="I41" s="6"/>
      <c r="J41" s="5"/>
      <c r="K41" s="6"/>
      <c r="L41" s="6"/>
      <c r="M41" s="6"/>
      <c r="N41" s="43"/>
    </row>
    <row r="42" spans="1:14">
      <c r="A42" s="5"/>
      <c r="B42" s="31"/>
      <c r="C42" s="5"/>
      <c r="D42" s="5"/>
      <c r="E42" s="13"/>
      <c r="F42" s="5"/>
      <c r="G42" s="31"/>
      <c r="H42" s="5"/>
      <c r="I42" s="6"/>
      <c r="J42" s="5"/>
      <c r="K42" s="6"/>
      <c r="L42" s="6"/>
      <c r="M42" s="6"/>
      <c r="N42" s="43"/>
    </row>
    <row r="43" spans="1:14">
      <c r="A43" s="5"/>
      <c r="B43" s="31"/>
      <c r="C43" s="5"/>
      <c r="D43" s="5"/>
      <c r="E43" s="13"/>
      <c r="F43" s="5"/>
      <c r="G43" s="31"/>
      <c r="H43" s="5"/>
      <c r="I43" s="6"/>
      <c r="J43" s="5"/>
      <c r="K43" s="6"/>
      <c r="L43" s="6"/>
      <c r="M43" s="6"/>
      <c r="N43" s="43"/>
    </row>
    <row r="44" spans="1:14">
      <c r="A44" s="5"/>
      <c r="B44" s="31"/>
      <c r="C44" s="5"/>
      <c r="D44" s="5"/>
      <c r="E44" s="13"/>
      <c r="F44" s="5"/>
      <c r="G44" s="31"/>
      <c r="H44" s="5"/>
      <c r="I44" s="6"/>
      <c r="J44" s="5"/>
      <c r="K44" s="6"/>
      <c r="L44" s="6"/>
      <c r="M44" s="6"/>
      <c r="N44" s="43"/>
    </row>
    <row r="45" spans="1:14">
      <c r="A45" s="5"/>
      <c r="B45" s="31"/>
      <c r="C45" s="5"/>
      <c r="D45" s="5"/>
      <c r="E45" s="13"/>
      <c r="F45" s="5"/>
      <c r="G45" s="31"/>
      <c r="H45" s="5"/>
      <c r="I45" s="6"/>
      <c r="J45" s="5"/>
      <c r="K45" s="6"/>
      <c r="L45" s="6"/>
      <c r="M45" s="6"/>
      <c r="N45" s="43"/>
    </row>
    <row r="46" spans="1:14">
      <c r="A46" s="5"/>
      <c r="B46" s="31"/>
      <c r="C46" s="5"/>
      <c r="D46" s="5"/>
      <c r="E46" s="13"/>
      <c r="F46" s="5"/>
      <c r="G46" s="31"/>
      <c r="H46" s="5"/>
      <c r="I46" s="6"/>
      <c r="J46" s="5"/>
      <c r="K46" s="6"/>
      <c r="L46" s="6"/>
      <c r="M46" s="6"/>
      <c r="N46" s="43"/>
    </row>
    <row r="47" spans="1:14">
      <c r="A47" s="5"/>
      <c r="B47" s="31"/>
      <c r="C47" s="5"/>
      <c r="D47" s="5"/>
      <c r="E47" s="13"/>
      <c r="F47" s="5"/>
      <c r="G47" s="31"/>
      <c r="H47" s="5"/>
      <c r="I47" s="6"/>
      <c r="J47" s="5"/>
      <c r="K47" s="6"/>
      <c r="L47" s="6"/>
      <c r="M47" s="6"/>
      <c r="N47" s="43"/>
    </row>
    <row r="48" spans="1:14">
      <c r="A48" s="5"/>
      <c r="B48" s="31"/>
      <c r="C48" s="5"/>
      <c r="D48" s="5"/>
      <c r="E48" s="13"/>
      <c r="F48" s="5"/>
      <c r="G48" s="31"/>
      <c r="H48" s="5"/>
      <c r="I48" s="6"/>
      <c r="J48" s="5"/>
      <c r="K48" s="6"/>
      <c r="L48" s="6"/>
      <c r="M48" s="6"/>
      <c r="N48" s="43"/>
    </row>
    <row r="49" spans="1:14">
      <c r="A49" s="5"/>
      <c r="B49" s="31"/>
      <c r="C49" s="5"/>
      <c r="D49" s="5"/>
      <c r="E49" s="13"/>
      <c r="F49" s="5"/>
      <c r="G49" s="31"/>
      <c r="H49" s="5"/>
      <c r="I49" s="6"/>
      <c r="J49" s="5"/>
      <c r="K49" s="6"/>
      <c r="L49" s="6"/>
      <c r="M49" s="6"/>
      <c r="N49" s="43"/>
    </row>
    <row r="50" spans="1:14">
      <c r="A50" s="5"/>
      <c r="B50" s="31"/>
      <c r="C50" s="5"/>
      <c r="D50" s="5"/>
      <c r="E50" s="13"/>
      <c r="F50" s="5"/>
      <c r="G50" s="31"/>
      <c r="H50" s="5"/>
      <c r="I50" s="6"/>
      <c r="J50" s="5"/>
      <c r="K50" s="6"/>
      <c r="L50" s="6"/>
      <c r="M50" s="6"/>
      <c r="N50" s="43"/>
    </row>
    <row r="51" spans="1:14">
      <c r="A51" s="5"/>
      <c r="B51" s="31"/>
      <c r="C51" s="5"/>
      <c r="D51" s="5"/>
      <c r="E51" s="13"/>
      <c r="F51" s="5"/>
      <c r="G51" s="31"/>
      <c r="H51" s="5"/>
      <c r="I51" s="6"/>
      <c r="J51" s="5"/>
      <c r="K51" s="6"/>
      <c r="L51" s="6"/>
      <c r="M51" s="6"/>
      <c r="N51" s="43"/>
    </row>
    <row r="52" spans="1:14">
      <c r="A52" s="5"/>
      <c r="B52" s="31"/>
      <c r="C52" s="5"/>
      <c r="D52" s="5"/>
      <c r="E52" s="13"/>
      <c r="F52" s="5"/>
      <c r="G52" s="31"/>
      <c r="H52" s="5"/>
      <c r="I52" s="6"/>
      <c r="J52" s="5"/>
      <c r="K52" s="6"/>
      <c r="L52" s="6"/>
      <c r="M52" s="6"/>
      <c r="N52" s="43"/>
    </row>
    <row r="53" spans="1:14">
      <c r="A53" s="5"/>
      <c r="B53" s="31"/>
      <c r="C53" s="5"/>
      <c r="D53" s="5"/>
      <c r="E53" s="13"/>
      <c r="F53" s="5"/>
      <c r="G53" s="31"/>
      <c r="H53" s="5"/>
      <c r="I53" s="6"/>
      <c r="J53" s="5"/>
      <c r="K53" s="6"/>
      <c r="L53" s="6"/>
      <c r="M53" s="6"/>
      <c r="N53" s="43"/>
    </row>
    <row r="54" spans="1:14">
      <c r="A54" s="5"/>
      <c r="B54" s="31"/>
      <c r="C54" s="5"/>
      <c r="D54" s="5"/>
      <c r="E54" s="13"/>
      <c r="F54" s="5"/>
      <c r="G54" s="31"/>
      <c r="H54" s="5"/>
      <c r="I54" s="6"/>
      <c r="J54" s="5"/>
      <c r="K54" s="6"/>
      <c r="L54" s="6"/>
      <c r="M54" s="6"/>
      <c r="N54" s="43"/>
    </row>
    <row r="55" spans="1:14">
      <c r="A55" s="5"/>
      <c r="B55" s="31"/>
      <c r="C55" s="5"/>
      <c r="D55" s="5"/>
      <c r="E55" s="13"/>
      <c r="F55" s="5"/>
      <c r="G55" s="31"/>
      <c r="H55" s="5"/>
      <c r="I55" s="6"/>
      <c r="J55" s="5"/>
      <c r="K55" s="6"/>
      <c r="L55" s="6"/>
      <c r="M55" s="6"/>
      <c r="N55" s="43"/>
    </row>
    <row r="56" spans="1:14">
      <c r="A56" s="5"/>
      <c r="B56" s="31"/>
      <c r="C56" s="5"/>
      <c r="D56" s="5"/>
      <c r="E56" s="13"/>
      <c r="F56" s="5"/>
      <c r="G56" s="31"/>
      <c r="H56" s="5"/>
      <c r="I56" s="6"/>
      <c r="J56" s="5"/>
      <c r="K56" s="6"/>
      <c r="L56" s="6"/>
      <c r="M56" s="6"/>
      <c r="N56" s="43"/>
    </row>
    <row r="57" spans="1:14">
      <c r="A57" s="5"/>
      <c r="B57" s="31"/>
      <c r="C57" s="5"/>
      <c r="D57" s="5"/>
      <c r="E57" s="13"/>
      <c r="F57" s="5"/>
      <c r="G57" s="31"/>
      <c r="H57" s="5"/>
      <c r="I57" s="6"/>
      <c r="J57" s="5"/>
      <c r="K57" s="6"/>
      <c r="L57" s="6"/>
      <c r="M57" s="6"/>
      <c r="N57" s="43"/>
    </row>
    <row r="58" spans="1:14">
      <c r="A58" s="5"/>
      <c r="B58" s="31"/>
      <c r="C58" s="5"/>
      <c r="D58" s="5"/>
      <c r="E58" s="13"/>
      <c r="F58" s="5"/>
      <c r="G58" s="31"/>
      <c r="H58" s="5"/>
      <c r="I58" s="6"/>
      <c r="J58" s="5"/>
      <c r="K58" s="6"/>
      <c r="L58" s="6"/>
      <c r="M58" s="6"/>
      <c r="N58" s="43"/>
    </row>
    <row r="59" spans="1:14">
      <c r="A59" s="5"/>
      <c r="B59" s="31"/>
      <c r="C59" s="5"/>
      <c r="D59" s="5"/>
      <c r="E59" s="13"/>
      <c r="F59" s="5"/>
      <c r="G59" s="31"/>
      <c r="H59" s="5"/>
      <c r="I59" s="6"/>
      <c r="J59" s="5"/>
      <c r="K59" s="6"/>
      <c r="L59" s="6"/>
      <c r="M59" s="6"/>
      <c r="N59" s="43"/>
    </row>
    <row r="60" spans="1:14" ht="17.25" customHeight="1">
      <c r="A60" s="38" t="s">
        <v>71</v>
      </c>
      <c r="B60" s="38"/>
      <c r="C60" s="41"/>
      <c r="D60" s="38"/>
      <c r="E60" s="59" t="s">
        <v>72</v>
      </c>
      <c r="F60" s="41"/>
      <c r="G60" s="38"/>
      <c r="H60" s="39"/>
      <c r="I60" s="40"/>
      <c r="J60" s="35"/>
      <c r="K60" s="43"/>
      <c r="L60" s="35"/>
      <c r="M60" s="6"/>
      <c r="N60" s="43"/>
    </row>
    <row r="61" spans="1:14" ht="17.25" customHeight="1">
      <c r="A61" s="38" t="s">
        <v>73</v>
      </c>
      <c r="B61" s="38"/>
      <c r="C61" s="41"/>
      <c r="D61" s="38"/>
      <c r="E61" s="59" t="s">
        <v>72</v>
      </c>
      <c r="F61" s="41"/>
      <c r="G61" s="38"/>
      <c r="H61" s="39"/>
      <c r="I61" s="40"/>
      <c r="J61" s="35"/>
      <c r="K61" s="43"/>
      <c r="L61" s="35"/>
      <c r="M61" s="6"/>
      <c r="N61" s="43"/>
    </row>
    <row r="62" spans="1:14" ht="17.25" customHeight="1">
      <c r="A62" s="38" t="s">
        <v>74</v>
      </c>
      <c r="B62" s="38"/>
      <c r="C62" s="41"/>
      <c r="D62" s="38"/>
      <c r="E62" s="59" t="s">
        <v>72</v>
      </c>
      <c r="F62" s="41"/>
      <c r="G62" s="38"/>
      <c r="H62" s="39"/>
      <c r="I62" s="40"/>
      <c r="J62" s="35"/>
      <c r="K62" s="43"/>
      <c r="L62" s="35"/>
      <c r="M62" s="6"/>
      <c r="N62" s="43"/>
    </row>
    <row r="63" spans="1:14" ht="17.25" customHeight="1">
      <c r="A63" s="38" t="s">
        <v>75</v>
      </c>
      <c r="B63" s="38"/>
      <c r="C63" s="41"/>
      <c r="D63" s="38"/>
      <c r="E63" s="59" t="s">
        <v>72</v>
      </c>
      <c r="F63" s="41"/>
      <c r="G63" s="38"/>
      <c r="H63" s="39"/>
      <c r="I63" s="40"/>
      <c r="J63" s="35"/>
      <c r="K63" s="43"/>
      <c r="L63" s="35"/>
      <c r="M63" s="6"/>
      <c r="N63" s="43"/>
    </row>
    <row r="64" spans="1:14" ht="17.25" customHeight="1">
      <c r="A64" s="38" t="s">
        <v>76</v>
      </c>
      <c r="B64" s="38"/>
      <c r="C64" s="41"/>
      <c r="D64" s="38"/>
      <c r="E64" s="59" t="s">
        <v>72</v>
      </c>
      <c r="F64" s="41"/>
      <c r="G64" s="38"/>
      <c r="H64" s="39"/>
      <c r="I64" s="40"/>
      <c r="J64" s="35"/>
      <c r="K64" s="43"/>
      <c r="L64" s="35"/>
      <c r="M64" s="6"/>
      <c r="N64" s="43"/>
    </row>
    <row r="65" spans="1:14">
      <c r="A65" s="43"/>
      <c r="B65" s="43"/>
      <c r="C65" s="35"/>
      <c r="D65" s="43"/>
      <c r="E65" s="60"/>
      <c r="F65" s="42"/>
      <c r="G65" s="43"/>
      <c r="H65" s="35"/>
      <c r="I65" s="43"/>
      <c r="J65" s="35"/>
      <c r="K65" s="43"/>
      <c r="L65" s="35"/>
      <c r="M65" s="43"/>
      <c r="N65" s="43"/>
    </row>
    <row r="66" spans="1:14" ht="18" customHeight="1">
      <c r="A66" s="43"/>
      <c r="B66" s="43"/>
      <c r="C66" s="35"/>
      <c r="D66" s="43"/>
      <c r="E66" s="60"/>
      <c r="F66" s="42"/>
      <c r="G66" s="43"/>
      <c r="H66" s="35"/>
      <c r="I66" s="43"/>
      <c r="J66" s="35"/>
      <c r="K66" s="43"/>
      <c r="L66" s="35"/>
    </row>
    <row r="67" spans="1:14" ht="18" customHeight="1">
      <c r="A67" s="36"/>
      <c r="B67" s="34"/>
      <c r="C67" s="34"/>
      <c r="D67" s="35"/>
      <c r="E67" s="37"/>
      <c r="F67" s="37"/>
      <c r="G67" s="37"/>
      <c r="H67" s="37"/>
      <c r="I67" s="37"/>
      <c r="J67" s="37"/>
      <c r="K67" s="43"/>
    </row>
    <row r="68" spans="1:14" ht="18" customHeight="1">
      <c r="A68" s="34"/>
      <c r="B68" s="34"/>
      <c r="C68" s="47"/>
      <c r="D68" s="35"/>
      <c r="E68" s="37"/>
      <c r="F68" s="37"/>
      <c r="G68" s="37"/>
      <c r="H68" s="37"/>
      <c r="I68" s="37"/>
      <c r="J68" s="37"/>
      <c r="K68" s="43"/>
    </row>
    <row r="69" spans="1:14" ht="18" customHeight="1">
      <c r="A69" s="34"/>
      <c r="B69" s="34"/>
      <c r="C69" s="47"/>
      <c r="D69" s="35"/>
      <c r="E69" s="37"/>
      <c r="F69" s="37"/>
      <c r="G69" s="37"/>
      <c r="H69" s="37"/>
      <c r="I69" s="37"/>
      <c r="J69" s="37"/>
      <c r="K69" s="43"/>
    </row>
    <row r="70" spans="1:14" ht="18" customHeight="1">
      <c r="A70" s="34"/>
      <c r="B70" s="34"/>
      <c r="C70" s="47"/>
      <c r="D70" s="35"/>
      <c r="E70" s="37"/>
      <c r="F70" s="37"/>
      <c r="G70" s="37"/>
      <c r="H70" s="37"/>
      <c r="I70" s="37"/>
      <c r="J70" s="37"/>
      <c r="K70" s="43"/>
    </row>
    <row r="71" spans="1:14" ht="18" customHeight="1">
      <c r="A71" s="34"/>
      <c r="B71" s="34"/>
      <c r="C71" s="47"/>
      <c r="D71" s="35"/>
      <c r="E71" s="37"/>
      <c r="F71" s="37"/>
      <c r="G71" s="37"/>
      <c r="H71" s="37"/>
      <c r="I71" s="37"/>
      <c r="J71" s="37"/>
      <c r="K71" s="43"/>
    </row>
    <row r="72" spans="1:14">
      <c r="F72" s="44"/>
      <c r="I72" s="43"/>
      <c r="K72" s="43"/>
      <c r="L72" s="43"/>
      <c r="M72" s="43"/>
    </row>
    <row r="73" spans="1:14">
      <c r="F73" s="44"/>
      <c r="I73" s="43"/>
      <c r="K73" s="43"/>
      <c r="L73" s="43"/>
      <c r="M73" s="43"/>
    </row>
    <row r="74" spans="1:14">
      <c r="F74" s="44"/>
      <c r="I74" s="43"/>
      <c r="K74" s="43"/>
      <c r="L74" s="43"/>
      <c r="M74" s="43"/>
    </row>
    <row r="75" spans="1:14">
      <c r="F75" s="44"/>
      <c r="I75" s="43"/>
      <c r="K75" s="43"/>
      <c r="L75" s="43"/>
      <c r="M75" s="43"/>
    </row>
    <row r="76" spans="1:14">
      <c r="F76" s="44"/>
      <c r="I76" s="43"/>
      <c r="K76" s="43"/>
      <c r="L76" s="43"/>
      <c r="M76" s="43"/>
    </row>
    <row r="77" spans="1:14">
      <c r="F77" s="44"/>
      <c r="I77" s="43"/>
      <c r="K77" s="43"/>
      <c r="L77" s="43"/>
      <c r="M77" s="43"/>
    </row>
    <row r="78" spans="1:14">
      <c r="F78" s="44"/>
      <c r="I78" s="43"/>
      <c r="K78" s="43"/>
      <c r="L78" s="43"/>
      <c r="M78" s="43"/>
    </row>
    <row r="79" spans="1:14">
      <c r="F79" s="44"/>
      <c r="I79" s="43"/>
      <c r="K79" s="43"/>
      <c r="L79" s="43"/>
      <c r="M79" s="43"/>
    </row>
    <row r="80" spans="1:14">
      <c r="F80" s="44"/>
      <c r="I80" s="43"/>
      <c r="K80" s="43"/>
      <c r="L80" s="43"/>
      <c r="M80" s="43"/>
    </row>
    <row r="81" spans="6:13">
      <c r="F81" s="44"/>
      <c r="I81" s="43"/>
      <c r="K81" s="43"/>
      <c r="L81" s="43"/>
      <c r="M81" s="43"/>
    </row>
    <row r="82" spans="6:13">
      <c r="F82" s="44"/>
      <c r="I82" s="43"/>
      <c r="K82" s="43"/>
      <c r="L82" s="43"/>
      <c r="M82" s="43"/>
    </row>
    <row r="83" spans="6:13">
      <c r="F83" s="44"/>
      <c r="I83" s="43"/>
      <c r="K83" s="43"/>
      <c r="L83" s="43"/>
      <c r="M83" s="43"/>
    </row>
    <row r="84" spans="6:13">
      <c r="F84" s="44"/>
      <c r="I84" s="43"/>
      <c r="K84" s="43"/>
      <c r="L84" s="43"/>
      <c r="M84" s="43"/>
    </row>
    <row r="85" spans="6:13">
      <c r="F85" s="44"/>
      <c r="I85" s="43"/>
      <c r="K85" s="43"/>
      <c r="L85" s="43"/>
      <c r="M85" s="43"/>
    </row>
    <row r="86" spans="6:13">
      <c r="F86" s="44"/>
      <c r="I86" s="43"/>
      <c r="K86" s="43"/>
      <c r="L86" s="43"/>
      <c r="M86" s="43"/>
    </row>
    <row r="87" spans="6:13">
      <c r="F87" s="44"/>
      <c r="I87" s="43"/>
      <c r="K87" s="43"/>
      <c r="L87" s="43"/>
      <c r="M87" s="43"/>
    </row>
    <row r="88" spans="6:13">
      <c r="F88" s="44"/>
      <c r="I88" s="43"/>
      <c r="K88" s="43"/>
      <c r="L88" s="43"/>
      <c r="M88" s="43"/>
    </row>
    <row r="89" spans="6:13">
      <c r="F89" s="44"/>
      <c r="I89" s="43"/>
      <c r="K89" s="43"/>
      <c r="L89" s="43"/>
      <c r="M89" s="43"/>
    </row>
    <row r="90" spans="6:13">
      <c r="F90" s="44"/>
      <c r="I90" s="43"/>
      <c r="K90" s="43"/>
      <c r="L90" s="43"/>
      <c r="M90" s="43"/>
    </row>
    <row r="91" spans="6:13">
      <c r="F91" s="44"/>
      <c r="I91" s="43"/>
      <c r="K91" s="43"/>
      <c r="L91" s="43"/>
      <c r="M91" s="43"/>
    </row>
    <row r="92" spans="6:13">
      <c r="F92" s="44"/>
      <c r="I92" s="43"/>
      <c r="K92" s="43"/>
      <c r="L92" s="43"/>
      <c r="M92" s="43"/>
    </row>
    <row r="93" spans="6:13">
      <c r="F93" s="44"/>
      <c r="I93" s="43"/>
      <c r="K93" s="43"/>
      <c r="L93" s="43"/>
      <c r="M93" s="43"/>
    </row>
    <row r="94" spans="6:13">
      <c r="F94" s="44"/>
      <c r="I94" s="43"/>
      <c r="K94" s="43"/>
      <c r="L94" s="43"/>
      <c r="M94" s="43"/>
    </row>
    <row r="95" spans="6:13">
      <c r="F95" s="44"/>
      <c r="I95" s="43"/>
      <c r="K95" s="43"/>
      <c r="L95" s="43"/>
      <c r="M95" s="43"/>
    </row>
    <row r="96" spans="6:13">
      <c r="F96" s="44"/>
      <c r="I96" s="43"/>
      <c r="K96" s="43"/>
      <c r="L96" s="43"/>
      <c r="M96" s="43"/>
    </row>
    <row r="97" spans="6:13">
      <c r="F97" s="44"/>
      <c r="I97" s="43"/>
      <c r="K97" s="43"/>
      <c r="L97" s="43"/>
      <c r="M97" s="43"/>
    </row>
    <row r="99" spans="6:13" ht="17.25" customHeight="1"/>
    <row r="101" spans="6:13" ht="16.5" hidden="1" customHeight="1"/>
  </sheetData>
  <mergeCells count="3">
    <mergeCell ref="A4:C4"/>
    <mergeCell ref="A2:L2"/>
    <mergeCell ref="A1:L1"/>
  </mergeCells>
  <pageMargins left="0.2" right="0" top="0.25" bottom="0.2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lytu</dc:creator>
  <cp:lastModifiedBy>Nguyễn Đình Lộc</cp:lastModifiedBy>
  <cp:lastPrinted>2026-05-26T08:19:50Z</cp:lastPrinted>
  <dcterms:created xsi:type="dcterms:W3CDTF">2012-04-04T12:41:00Z</dcterms:created>
  <dcterms:modified xsi:type="dcterms:W3CDTF">2026-06-08T15:49:14Z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14432E98BFA240DAB5C36D68016C68CC_12</vt:lpwstr>
  </property>
  <property fmtid="{D5CDD505-2E9C-101B-9397-08002B2CF9AE}" pid="3" name="KSOProductBuildVer">
    <vt:lpwstr>1033-12.2.0.20326</vt:lpwstr>
  </property>
</Properties>
</file>